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13\OneDrive\Desktop\AI PM\Cost Estimation Assignment\"/>
    </mc:Choice>
  </mc:AlternateContent>
  <xr:revisionPtr revIDLastSave="0" documentId="13_ncr:1_{9A813DAC-D01C-469F-817E-AB48F96BEB48}" xr6:coauthVersionLast="47" xr6:coauthVersionMax="47" xr10:uidLastSave="{00000000-0000-0000-0000-000000000000}"/>
  <bookViews>
    <workbookView xWindow="-108" yWindow="-108" windowWidth="23256" windowHeight="12456" xr2:uid="{A47D9BA8-2D7E-4277-B50A-F1B735C48E40}"/>
  </bookViews>
  <sheets>
    <sheet name="Inference" sheetId="1" r:id="rId1"/>
    <sheet name="Model Comparison" sheetId="5" r:id="rId2"/>
    <sheet name="Embedding" sheetId="2" r:id="rId3"/>
    <sheet name="Cost Saving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3" l="1"/>
  <c r="B22" i="3"/>
  <c r="B19" i="3"/>
  <c r="B16" i="3"/>
  <c r="B17" i="3"/>
  <c r="B18" i="3"/>
  <c r="B11" i="3"/>
  <c r="B9" i="3"/>
  <c r="B8" i="3"/>
  <c r="B5" i="3"/>
  <c r="B15" i="2"/>
  <c r="B14" i="2"/>
  <c r="B12" i="2"/>
  <c r="B9" i="2"/>
  <c r="B7" i="2"/>
  <c r="B17" i="1"/>
  <c r="B18" i="1" s="1"/>
  <c r="B19" i="1" s="1"/>
  <c r="B15" i="1"/>
  <c r="B16" i="1" s="1"/>
  <c r="B29" i="1" s="1"/>
  <c r="B30" i="1" l="1"/>
  <c r="B31" i="1"/>
  <c r="B32" i="1" s="1"/>
  <c r="B33" i="1" s="1"/>
</calcChain>
</file>

<file path=xl/sharedStrings.xml><?xml version="1.0" encoding="utf-8"?>
<sst xmlns="http://schemas.openxmlformats.org/spreadsheetml/2006/main" count="144" uniqueCount="120">
  <si>
    <t>Value</t>
  </si>
  <si>
    <t>AI Call Audit – Inference Cost</t>
  </si>
  <si>
    <t>Calls per day</t>
  </si>
  <si>
    <t>Average call duration (minutes)</t>
  </si>
  <si>
    <t>Working days per month</t>
  </si>
  <si>
    <t>Words per minute</t>
  </si>
  <si>
    <t>Token conversion factor</t>
  </si>
  <si>
    <t>System Prompt Tokens</t>
  </si>
  <si>
    <t>RAG Tokens</t>
  </si>
  <si>
    <t>Output Tokens</t>
  </si>
  <si>
    <t>Monthly Calls</t>
  </si>
  <si>
    <t>Monthly Audio Minutes</t>
  </si>
  <si>
    <t>Words per Call</t>
  </si>
  <si>
    <t>Transcript Tokens</t>
  </si>
  <si>
    <t>Total Input Tokens per Call</t>
  </si>
  <si>
    <t>Model Pricing</t>
  </si>
  <si>
    <t>ASR Price ($/minute)</t>
  </si>
  <si>
    <t>LLM Input Price ($/1M tokens)</t>
  </si>
  <si>
    <t>LLM Output Price ($/1M tokens)</t>
  </si>
  <si>
    <t>ASR Cost per Month</t>
  </si>
  <si>
    <t>LLM Input Cost</t>
  </si>
  <si>
    <t>LLM Output Cost</t>
  </si>
  <si>
    <t>Total LLM Cost</t>
  </si>
  <si>
    <t>Total AI Cost</t>
  </si>
  <si>
    <t>Assumptions</t>
  </si>
  <si>
    <t>Calculation</t>
  </si>
  <si>
    <t>Model</t>
  </si>
  <si>
    <t>Approx. Price</t>
  </si>
  <si>
    <t>Decision</t>
  </si>
  <si>
    <t>OpenAI Whisper</t>
  </si>
  <si>
    <t>~$0.006/min</t>
  </si>
  <si>
    <t>Google Speech-to-Text</t>
  </si>
  <si>
    <t>Higher than Whisper (varies by usage tier)</t>
  </si>
  <si>
    <t>Not Selected</t>
  </si>
  <si>
    <t>Transcription (ASR)</t>
  </si>
  <si>
    <t>Excellent transcription accuracy</t>
  </si>
  <si>
    <t>Low cost</t>
  </si>
  <si>
    <t>Simple API</t>
  </si>
  <si>
    <t>Widely adopted for call-center use cases</t>
  </si>
  <si>
    <t>Input Price (per 1M tokens)</t>
  </si>
  <si>
    <t>Output Price (per 1M tokens)</t>
  </si>
  <si>
    <t>GPT-4.1 Mini</t>
  </si>
  <si>
    <t>$0.40</t>
  </si>
  <si>
    <t>$1.60</t>
  </si>
  <si>
    <t>Claude Opus</t>
  </si>
  <si>
    <t>Higher cost</t>
  </si>
  <si>
    <t>GPT-4.1 Mini offers a large context window and much lower inference cost, making it a strong fit for processing long call transcripts.</t>
  </si>
  <si>
    <t>Resonings</t>
  </si>
  <si>
    <t>OpenAI text-embedding-3-small</t>
  </si>
  <si>
    <t>Gemini Embedding</t>
  </si>
  <si>
    <t>Reason:</t>
  </si>
  <si>
    <t>Lower cost</t>
  </si>
  <si>
    <t>Good retrieval quality</t>
  </si>
  <si>
    <t>Commonly used with RAG</t>
  </si>
  <si>
    <t>Selected</t>
  </si>
  <si>
    <t>AI Call Audit – Embedding Cost</t>
  </si>
  <si>
    <t>Parameter</t>
  </si>
  <si>
    <t>Corpus Words</t>
  </si>
  <si>
    <t>Token Conversion Factor</t>
  </si>
  <si>
    <t>Corpus Tokens</t>
  </si>
  <si>
    <t>Embedding Price ($/1M tokens)</t>
  </si>
  <si>
    <t>One-Time Embedding Cost</t>
  </si>
  <si>
    <t>Tokens Embedded per Call</t>
  </si>
  <si>
    <t>Monthly Tokens</t>
  </si>
  <si>
    <t>Monthly Embedding Cost</t>
  </si>
  <si>
    <t>(975 is approximately the transcript token count.)</t>
  </si>
  <si>
    <t>Recurring</t>
  </si>
  <si>
    <t>One time Embedding</t>
  </si>
  <si>
    <t>Instead of sending all of that to the LLM for every call (which is expensive), you:</t>
  </si>
  <si>
    <r>
      <t xml:space="preserve">1. Convert those documents into embeddings </t>
    </r>
    <r>
      <rPr>
        <b/>
        <sz val="11"/>
        <color theme="1"/>
        <rFont val="Calibri"/>
        <family val="2"/>
      </rPr>
      <t>once</t>
    </r>
    <r>
      <rPr>
        <sz val="11"/>
        <color theme="1"/>
        <rFont val="Calibri"/>
        <family val="2"/>
      </rPr>
      <t>.</t>
    </r>
  </si>
  <si>
    <t>2. Store them in a vector database.</t>
  </si>
  <si>
    <t>3. For each call, retrieve only the relevant sections.</t>
  </si>
  <si>
    <t>This reduces prompt size, lowers cost, and improves response quality.</t>
  </si>
  <si>
    <t>AI vs Human Cost Comparison</t>
  </si>
  <si>
    <t>Human Audit Calculation</t>
  </si>
  <si>
    <t>Auditor Productivity (Calls/Day)</t>
  </si>
  <si>
    <t>Working Days</t>
  </si>
  <si>
    <t>Calls per Auditor per Month</t>
  </si>
  <si>
    <t>Auditors Required</t>
  </si>
  <si>
    <t>Monthly Salary per Auditor ($)</t>
  </si>
  <si>
    <t>Total Human Cost</t>
  </si>
  <si>
    <t>AI Cost Calculation</t>
  </si>
  <si>
    <t>Inference Cost</t>
  </si>
  <si>
    <t>Total AI Monthly Cost</t>
  </si>
  <si>
    <t>Monthly Savings</t>
  </si>
  <si>
    <t>Savings %</t>
  </si>
  <si>
    <t>Factor</t>
  </si>
  <si>
    <t>Human QA</t>
  </si>
  <si>
    <t>AI Pipeline</t>
  </si>
  <si>
    <t>Coverage</t>
  </si>
  <si>
    <t>Samples only (5–10%)</t>
  </si>
  <si>
    <t>100% of calls</t>
  </si>
  <si>
    <t>Turnaround Time</t>
  </si>
  <si>
    <t>Hours/Days</t>
  </si>
  <si>
    <t>Minutes</t>
  </si>
  <si>
    <t>Consistency</t>
  </si>
  <si>
    <t>Varies by auditor</t>
  </si>
  <si>
    <t>Standardized</t>
  </si>
  <si>
    <t>Scalability</t>
  </si>
  <si>
    <t>Hire more auditors</t>
  </si>
  <si>
    <t>Easily scalable</t>
  </si>
  <si>
    <t>Compliance</t>
  </si>
  <si>
    <t>Manual checks</t>
  </si>
  <si>
    <t>Automatic detection</t>
  </si>
  <si>
    <t>Risk</t>
  </si>
  <si>
    <t>Human error</t>
  </si>
  <si>
    <t>Transcription errors, false positives (requires review)</t>
  </si>
  <si>
    <r>
      <t>* Recommendation:</t>
    </r>
    <r>
      <rPr>
        <i/>
        <sz val="11"/>
        <color rgb="FF00B050"/>
        <rFont val="Calibri"/>
        <family val="2"/>
      </rPr>
      <t xml:space="preserve"> Based on the cost analysis, implementing an AI-powered call auditing pipeline is recommended. The AI solution significantly reduces operational costs, enables 100% call coverage, delivers faster audit turnaround, and provides consistent evaluations. A small percentage of high-risk or flagged calls should continue to be reviewed by human auditors to ensure quality and regulatory compliance.</t>
    </r>
  </si>
  <si>
    <t>Stage</t>
  </si>
  <si>
    <t>Reason</t>
  </si>
  <si>
    <t>Speech-to-Text</t>
  </si>
  <si>
    <t>Audit LLM</t>
  </si>
  <si>
    <t>text-embedding-3-small</t>
  </si>
  <si>
    <t>Model 1</t>
  </si>
  <si>
    <t>Model 2</t>
  </si>
  <si>
    <t>Lower cost, high accuracy, simple pricing</t>
  </si>
  <si>
    <t>Much lower inference cost while maintaining strong performance</t>
  </si>
  <si>
    <t>Embeddings</t>
  </si>
  <si>
    <t>Lowest embedding cost with good retrieval quality</t>
  </si>
  <si>
    <t>Whisper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</si>
</sst>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0" formatCode="_([$$-409]* #,##0.00_);_([$$-409]* \(#,##0.00\);_([$$-409]* &quot;-&quot;??_);_(@_)"/>
    <numFmt numFmtId="174" formatCode="_([$$-409]* #,##0.0000_);_([$$-409]* \(#,##0.0000\);_([$$-409]* &quot;-&quot;??_);_(@_)"/>
  </numFmts>
  <fonts count="9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C000"/>
      <name val="Calibri"/>
      <family val="2"/>
    </font>
    <font>
      <b/>
      <sz val="11"/>
      <color rgb="FFFFC000"/>
      <name val="Calibri"/>
      <family val="2"/>
    </font>
    <font>
      <b/>
      <sz val="13.5"/>
      <color theme="1"/>
      <name val="Calibri"/>
      <family val="2"/>
    </font>
    <font>
      <sz val="10"/>
      <color theme="1"/>
      <name val="Arial Unicode MS"/>
    </font>
    <font>
      <b/>
      <i/>
      <sz val="11"/>
      <color rgb="FF00B050"/>
      <name val="Calibri"/>
      <family val="2"/>
    </font>
    <font>
      <i/>
      <sz val="11"/>
      <color rgb="FF00B05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1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0" xfId="0" applyFont="1" applyFill="1"/>
    <xf numFmtId="0" fontId="0" fillId="4" borderId="0" xfId="0" applyFill="1"/>
    <xf numFmtId="0" fontId="4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5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170" fontId="0" fillId="0" borderId="0" xfId="0" applyNumberFormat="1"/>
    <xf numFmtId="0" fontId="3" fillId="2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170" fontId="4" fillId="6" borderId="0" xfId="0" applyNumberFormat="1" applyFont="1" applyFill="1"/>
    <xf numFmtId="0" fontId="2" fillId="7" borderId="0" xfId="0" applyFont="1" applyFill="1"/>
    <xf numFmtId="0" fontId="0" fillId="7" borderId="0" xfId="0" applyFill="1"/>
    <xf numFmtId="0" fontId="0" fillId="7" borderId="0" xfId="0" applyFill="1" applyAlignment="1">
      <alignment horizontal="left" vertical="center" indent="1"/>
    </xf>
    <xf numFmtId="0" fontId="0" fillId="7" borderId="0" xfId="0" applyFill="1" applyAlignment="1">
      <alignment horizontal="left"/>
    </xf>
    <xf numFmtId="174" fontId="0" fillId="0" borderId="0" xfId="0" applyNumberFormat="1"/>
    <xf numFmtId="0" fontId="0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170" fontId="6" fillId="0" borderId="0" xfId="0" applyNumberFormat="1" applyFont="1" applyAlignment="1">
      <alignment vertical="center" wrapText="1"/>
    </xf>
    <xf numFmtId="2" fontId="6" fillId="0" borderId="0" xfId="2" applyNumberFormat="1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7" fillId="0" borderId="0" xfId="0" applyFont="1" applyAlignment="1">
      <alignment horizontal="left" vertical="center" inden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88B8-C68B-48F3-91E9-0032D4E74907}">
  <dimension ref="A1:M52"/>
  <sheetViews>
    <sheetView tabSelected="1" workbookViewId="0">
      <selection activeCell="D22" sqref="D22"/>
    </sheetView>
  </sheetViews>
  <sheetFormatPr defaultRowHeight="14.4"/>
  <cols>
    <col min="1" max="1" width="36.44140625" customWidth="1"/>
    <col min="2" max="2" width="12.33203125" bestFit="1" customWidth="1"/>
    <col min="4" max="4" width="27.21875" bestFit="1" customWidth="1"/>
    <col min="5" max="5" width="35.109375" bestFit="1" customWidth="1"/>
    <col min="6" max="6" width="24.6640625" bestFit="1" customWidth="1"/>
    <col min="7" max="7" width="11.44140625" bestFit="1" customWidth="1"/>
    <col min="8" max="9" width="11.44140625" customWidth="1"/>
  </cols>
  <sheetData>
    <row r="1" spans="1:10" s="9" customFormat="1">
      <c r="A1" s="8"/>
    </row>
    <row r="2" spans="1:10">
      <c r="A2" s="10" t="s">
        <v>1</v>
      </c>
      <c r="B2" s="12"/>
    </row>
    <row r="3" spans="1:10">
      <c r="A3" s="2"/>
    </row>
    <row r="4" spans="1:10">
      <c r="A4" s="6" t="s">
        <v>24</v>
      </c>
      <c r="B4" s="7" t="s">
        <v>0</v>
      </c>
    </row>
    <row r="5" spans="1:10">
      <c r="A5" s="2" t="s">
        <v>2</v>
      </c>
      <c r="B5" s="2">
        <v>8000</v>
      </c>
    </row>
    <row r="6" spans="1:10">
      <c r="A6" s="2" t="s">
        <v>3</v>
      </c>
      <c r="B6" s="2">
        <v>5</v>
      </c>
    </row>
    <row r="7" spans="1:10">
      <c r="A7" s="2" t="s">
        <v>4</v>
      </c>
      <c r="B7" s="2">
        <v>30</v>
      </c>
    </row>
    <row r="8" spans="1:10">
      <c r="A8" s="2" t="s">
        <v>5</v>
      </c>
      <c r="B8" s="2">
        <v>150</v>
      </c>
      <c r="G8" s="1"/>
      <c r="H8" s="1"/>
      <c r="I8" s="1"/>
      <c r="J8" s="1"/>
    </row>
    <row r="9" spans="1:10">
      <c r="A9" s="2" t="s">
        <v>6</v>
      </c>
      <c r="B9" s="2">
        <v>1.3</v>
      </c>
      <c r="G9" s="2"/>
      <c r="H9" s="2"/>
      <c r="I9" s="2"/>
      <c r="J9" s="2"/>
    </row>
    <row r="10" spans="1:10">
      <c r="A10" s="4" t="s">
        <v>7</v>
      </c>
      <c r="B10" s="2">
        <v>500</v>
      </c>
      <c r="G10" s="2"/>
      <c r="H10" s="2"/>
      <c r="I10" s="2"/>
      <c r="J10" s="2"/>
    </row>
    <row r="11" spans="1:10">
      <c r="A11" s="4" t="s">
        <v>8</v>
      </c>
      <c r="B11" s="2">
        <v>1000</v>
      </c>
      <c r="G11" s="2"/>
      <c r="H11" s="2"/>
      <c r="I11" s="2"/>
      <c r="J11" s="2"/>
    </row>
    <row r="12" spans="1:10">
      <c r="A12" s="2" t="s">
        <v>9</v>
      </c>
      <c r="B12" s="2">
        <v>300</v>
      </c>
      <c r="G12" s="2"/>
      <c r="H12" s="2"/>
      <c r="I12" s="2"/>
      <c r="J12" s="2"/>
    </row>
    <row r="13" spans="1:10">
      <c r="B13" s="1"/>
      <c r="C13" s="1"/>
    </row>
    <row r="14" spans="1:10">
      <c r="A14" s="6" t="s">
        <v>25</v>
      </c>
      <c r="B14" s="7" t="s">
        <v>0</v>
      </c>
    </row>
    <row r="15" spans="1:10">
      <c r="A15" s="2" t="s">
        <v>10</v>
      </c>
      <c r="B15" s="3">
        <f>B5*B7</f>
        <v>240000</v>
      </c>
    </row>
    <row r="16" spans="1:10">
      <c r="A16" s="2" t="s">
        <v>11</v>
      </c>
      <c r="B16" s="3">
        <f>B15*B6</f>
        <v>1200000</v>
      </c>
    </row>
    <row r="17" spans="1:5">
      <c r="A17" s="2" t="s">
        <v>12</v>
      </c>
      <c r="B17" s="2">
        <f>B8*B6</f>
        <v>750</v>
      </c>
    </row>
    <row r="18" spans="1:5">
      <c r="A18" s="2" t="s">
        <v>13</v>
      </c>
      <c r="B18" s="2">
        <f>B17*B9</f>
        <v>975</v>
      </c>
    </row>
    <row r="19" spans="1:5">
      <c r="A19" s="2" t="s">
        <v>14</v>
      </c>
      <c r="B19">
        <f>B18+B10+B11</f>
        <v>2475</v>
      </c>
    </row>
    <row r="22" spans="1:5">
      <c r="A22" s="6" t="s">
        <v>15</v>
      </c>
      <c r="B22" s="7" t="s">
        <v>0</v>
      </c>
    </row>
    <row r="23" spans="1:5">
      <c r="A23" s="2"/>
    </row>
    <row r="24" spans="1:5">
      <c r="A24" s="2" t="s">
        <v>16</v>
      </c>
      <c r="B24">
        <v>6.0000000000000001E-3</v>
      </c>
    </row>
    <row r="25" spans="1:5">
      <c r="A25" s="2" t="s">
        <v>17</v>
      </c>
      <c r="B25">
        <v>0.4</v>
      </c>
    </row>
    <row r="26" spans="1:5">
      <c r="A26" s="2" t="s">
        <v>18</v>
      </c>
      <c r="B26">
        <v>1.6</v>
      </c>
    </row>
    <row r="29" spans="1:5">
      <c r="A29" s="2" t="s">
        <v>19</v>
      </c>
      <c r="B29" s="16">
        <f>B24*B16</f>
        <v>7200</v>
      </c>
      <c r="D29" s="1"/>
      <c r="E29" s="1"/>
    </row>
    <row r="30" spans="1:5">
      <c r="A30" s="2" t="s">
        <v>20</v>
      </c>
      <c r="B30" s="16">
        <f>(B25*B15*B19)/1000000</f>
        <v>237.6</v>
      </c>
      <c r="D30" s="2"/>
    </row>
    <row r="31" spans="1:5">
      <c r="A31" s="2" t="s">
        <v>21</v>
      </c>
      <c r="B31" s="16">
        <f>(B12*B15*B26)/1000000</f>
        <v>115.2</v>
      </c>
      <c r="D31" s="2"/>
    </row>
    <row r="32" spans="1:5">
      <c r="A32" s="2" t="s">
        <v>22</v>
      </c>
      <c r="B32" s="16">
        <f>B30+B31</f>
        <v>352.8</v>
      </c>
      <c r="D32" s="2"/>
    </row>
    <row r="33" spans="1:13">
      <c r="A33" s="18" t="s">
        <v>23</v>
      </c>
      <c r="B33" s="19">
        <f>B32+B29</f>
        <v>7552.8</v>
      </c>
      <c r="D33" s="2"/>
    </row>
    <row r="34" spans="1:13">
      <c r="D34" s="2"/>
    </row>
    <row r="35" spans="1:13" ht="18">
      <c r="D35" s="13" t="s">
        <v>34</v>
      </c>
      <c r="J35" s="20" t="s">
        <v>47</v>
      </c>
      <c r="K35" s="21"/>
      <c r="L35" s="21"/>
      <c r="M35" s="21"/>
    </row>
    <row r="36" spans="1:13">
      <c r="C36">
        <v>1</v>
      </c>
      <c r="D36" s="10" t="s">
        <v>26</v>
      </c>
      <c r="E36" s="10" t="s">
        <v>27</v>
      </c>
      <c r="F36" s="10" t="s">
        <v>28</v>
      </c>
      <c r="J36" s="23">
        <v>1</v>
      </c>
      <c r="K36" s="21"/>
      <c r="L36" s="21"/>
      <c r="M36" s="21"/>
    </row>
    <row r="37" spans="1:13">
      <c r="D37" s="11" t="s">
        <v>29</v>
      </c>
      <c r="E37" s="11" t="s">
        <v>30</v>
      </c>
      <c r="F37" s="11" t="s">
        <v>54</v>
      </c>
      <c r="J37" s="22" t="s">
        <v>35</v>
      </c>
      <c r="K37" s="21"/>
      <c r="L37" s="21"/>
      <c r="M37" s="21"/>
    </row>
    <row r="38" spans="1:13">
      <c r="D38" s="11" t="s">
        <v>31</v>
      </c>
      <c r="E38" s="11" t="s">
        <v>32</v>
      </c>
      <c r="F38" s="11" t="s">
        <v>33</v>
      </c>
      <c r="J38" s="22" t="s">
        <v>36</v>
      </c>
      <c r="K38" s="21"/>
      <c r="L38" s="21"/>
      <c r="M38" s="21"/>
    </row>
    <row r="39" spans="1:13">
      <c r="J39" s="22" t="s">
        <v>37</v>
      </c>
      <c r="K39" s="21"/>
      <c r="L39" s="21"/>
      <c r="M39" s="21"/>
    </row>
    <row r="40" spans="1:13">
      <c r="J40" s="22" t="s">
        <v>38</v>
      </c>
      <c r="K40" s="21"/>
      <c r="L40" s="21"/>
      <c r="M40" s="21"/>
    </row>
    <row r="41" spans="1:13">
      <c r="J41" s="21"/>
      <c r="K41" s="21"/>
      <c r="L41" s="21"/>
      <c r="M41" s="21"/>
    </row>
    <row r="42" spans="1:13">
      <c r="C42">
        <v>2</v>
      </c>
      <c r="D42" s="10" t="s">
        <v>26</v>
      </c>
      <c r="E42" s="10" t="s">
        <v>39</v>
      </c>
      <c r="F42" s="10" t="s">
        <v>40</v>
      </c>
      <c r="G42" s="10" t="s">
        <v>28</v>
      </c>
      <c r="J42" s="23">
        <v>2</v>
      </c>
      <c r="K42" s="21"/>
      <c r="L42" s="21"/>
      <c r="M42" s="21"/>
    </row>
    <row r="43" spans="1:13">
      <c r="D43" s="11" t="s">
        <v>41</v>
      </c>
      <c r="E43" s="11" t="s">
        <v>42</v>
      </c>
      <c r="F43" s="11" t="s">
        <v>43</v>
      </c>
      <c r="G43" s="11" t="s">
        <v>54</v>
      </c>
      <c r="J43" s="21" t="s">
        <v>46</v>
      </c>
      <c r="K43" s="21"/>
      <c r="L43" s="21"/>
      <c r="M43" s="21"/>
    </row>
    <row r="44" spans="1:13">
      <c r="D44" s="11" t="s">
        <v>44</v>
      </c>
      <c r="E44" s="11" t="s">
        <v>45</v>
      </c>
      <c r="F44" s="11" t="s">
        <v>45</v>
      </c>
      <c r="G44" s="11" t="s">
        <v>33</v>
      </c>
      <c r="J44" s="21"/>
      <c r="K44" s="21"/>
      <c r="L44" s="21"/>
      <c r="M44" s="21"/>
    </row>
    <row r="45" spans="1:13">
      <c r="J45" s="21"/>
      <c r="K45" s="21"/>
      <c r="L45" s="21"/>
      <c r="M45" s="21"/>
    </row>
    <row r="46" spans="1:13">
      <c r="J46" s="21"/>
      <c r="K46" s="21"/>
      <c r="L46" s="21"/>
      <c r="M46" s="21"/>
    </row>
    <row r="47" spans="1:13">
      <c r="J47" s="21"/>
      <c r="K47" s="21"/>
      <c r="L47" s="21"/>
      <c r="M47" s="21"/>
    </row>
    <row r="48" spans="1:13">
      <c r="C48">
        <v>3</v>
      </c>
      <c r="D48" s="10" t="s">
        <v>26</v>
      </c>
      <c r="E48" s="10" t="s">
        <v>28</v>
      </c>
      <c r="J48" s="23">
        <v>3</v>
      </c>
      <c r="K48" s="21"/>
      <c r="L48" s="21"/>
      <c r="M48" s="21"/>
    </row>
    <row r="49" spans="4:13">
      <c r="D49" s="11" t="s">
        <v>48</v>
      </c>
      <c r="E49" s="11" t="s">
        <v>54</v>
      </c>
      <c r="J49" s="21" t="s">
        <v>50</v>
      </c>
      <c r="K49" s="21"/>
      <c r="L49" s="21"/>
      <c r="M49" s="21"/>
    </row>
    <row r="50" spans="4:13">
      <c r="D50" s="11" t="s">
        <v>49</v>
      </c>
      <c r="E50" s="11" t="s">
        <v>33</v>
      </c>
      <c r="J50" s="22" t="s">
        <v>51</v>
      </c>
      <c r="K50" s="21"/>
      <c r="L50" s="21"/>
      <c r="M50" s="21"/>
    </row>
    <row r="51" spans="4:13">
      <c r="J51" s="22" t="s">
        <v>52</v>
      </c>
      <c r="K51" s="21"/>
      <c r="L51" s="21"/>
      <c r="M51" s="21"/>
    </row>
    <row r="52" spans="4:13">
      <c r="J52" s="22" t="s">
        <v>53</v>
      </c>
      <c r="K52" s="21"/>
      <c r="L52" s="21"/>
      <c r="M52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8C82-F504-47B2-AE2D-D50AC8ED8951}">
  <dimension ref="D5:H9"/>
  <sheetViews>
    <sheetView workbookViewId="0">
      <selection activeCell="C25" sqref="C25"/>
    </sheetView>
  </sheetViews>
  <sheetFormatPr defaultRowHeight="14.4"/>
  <cols>
    <col min="4" max="4" width="13.5546875" bestFit="1" customWidth="1"/>
    <col min="5" max="5" width="20.5546875" bestFit="1" customWidth="1"/>
    <col min="6" max="6" width="19.88671875" bestFit="1" customWidth="1"/>
    <col min="7" max="7" width="23.88671875" bestFit="1" customWidth="1"/>
    <col min="8" max="8" width="55.109375" bestFit="1" customWidth="1"/>
  </cols>
  <sheetData>
    <row r="5" spans="4:8" ht="15" thickBot="1"/>
    <row r="6" spans="4:8">
      <c r="D6" s="34" t="s">
        <v>108</v>
      </c>
      <c r="E6" s="35" t="s">
        <v>113</v>
      </c>
      <c r="F6" s="35" t="s">
        <v>114</v>
      </c>
      <c r="G6" s="35" t="s">
        <v>54</v>
      </c>
      <c r="H6" s="36" t="s">
        <v>109</v>
      </c>
    </row>
    <row r="7" spans="4:8">
      <c r="D7" s="37" t="s">
        <v>110</v>
      </c>
      <c r="E7" s="11" t="s">
        <v>29</v>
      </c>
      <c r="F7" s="11" t="s">
        <v>31</v>
      </c>
      <c r="G7" s="11" t="s">
        <v>119</v>
      </c>
      <c r="H7" s="38" t="s">
        <v>115</v>
      </c>
    </row>
    <row r="8" spans="4:8">
      <c r="D8" s="37" t="s">
        <v>111</v>
      </c>
      <c r="E8" s="11" t="s">
        <v>41</v>
      </c>
      <c r="F8" s="11" t="s">
        <v>44</v>
      </c>
      <c r="G8" s="11" t="s">
        <v>41</v>
      </c>
      <c r="H8" s="38" t="s">
        <v>116</v>
      </c>
    </row>
    <row r="9" spans="4:8" ht="15" thickBot="1">
      <c r="D9" s="39" t="s">
        <v>117</v>
      </c>
      <c r="E9" s="40" t="s">
        <v>112</v>
      </c>
      <c r="F9" s="40" t="s">
        <v>49</v>
      </c>
      <c r="G9" s="40" t="s">
        <v>112</v>
      </c>
      <c r="H9" s="41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D607-4D34-4445-BDAB-57FE55C1D8DE}">
  <dimension ref="A1:J16"/>
  <sheetViews>
    <sheetView workbookViewId="0">
      <selection activeCell="D17" sqref="D17"/>
    </sheetView>
  </sheetViews>
  <sheetFormatPr defaultRowHeight="14.4"/>
  <cols>
    <col min="1" max="1" width="25.5546875" customWidth="1"/>
    <col min="2" max="2" width="10" bestFit="1" customWidth="1"/>
  </cols>
  <sheetData>
    <row r="1" spans="1:10" ht="28.8">
      <c r="A1" s="17" t="s">
        <v>55</v>
      </c>
      <c r="B1" s="5"/>
      <c r="J1" t="s">
        <v>68</v>
      </c>
    </row>
    <row r="2" spans="1:10">
      <c r="A2" t="s">
        <v>67</v>
      </c>
      <c r="J2" s="15"/>
    </row>
    <row r="3" spans="1:10">
      <c r="A3" s="2" t="s">
        <v>56</v>
      </c>
      <c r="B3" s="2" t="s">
        <v>0</v>
      </c>
      <c r="J3" s="15" t="s">
        <v>69</v>
      </c>
    </row>
    <row r="4" spans="1:10">
      <c r="J4" s="15" t="s">
        <v>70</v>
      </c>
    </row>
    <row r="5" spans="1:10">
      <c r="A5" s="2" t="s">
        <v>57</v>
      </c>
      <c r="B5">
        <v>50000</v>
      </c>
      <c r="J5" s="15" t="s">
        <v>71</v>
      </c>
    </row>
    <row r="6" spans="1:10">
      <c r="A6" s="2" t="s">
        <v>58</v>
      </c>
      <c r="B6">
        <v>1.3</v>
      </c>
    </row>
    <row r="7" spans="1:10">
      <c r="A7" s="2" t="s">
        <v>59</v>
      </c>
      <c r="B7">
        <f>B5*B6</f>
        <v>65000</v>
      </c>
      <c r="J7" t="s">
        <v>72</v>
      </c>
    </row>
    <row r="8" spans="1:10" ht="28.8">
      <c r="A8" s="2" t="s">
        <v>60</v>
      </c>
      <c r="B8">
        <v>0.02</v>
      </c>
    </row>
    <row r="9" spans="1:10">
      <c r="A9" s="2" t="s">
        <v>61</v>
      </c>
      <c r="B9" s="24">
        <f>B8*B7/1000000</f>
        <v>1.2999999999999999E-3</v>
      </c>
    </row>
    <row r="11" spans="1:10">
      <c r="A11" s="17" t="s">
        <v>66</v>
      </c>
      <c r="B11" s="5"/>
    </row>
    <row r="12" spans="1:10">
      <c r="A12" s="2" t="s">
        <v>10</v>
      </c>
      <c r="B12" s="25">
        <f>Inference!B15</f>
        <v>240000</v>
      </c>
    </row>
    <row r="13" spans="1:10">
      <c r="A13" s="2" t="s">
        <v>62</v>
      </c>
      <c r="B13">
        <v>975</v>
      </c>
      <c r="D13" s="14" t="s">
        <v>65</v>
      </c>
    </row>
    <row r="14" spans="1:10">
      <c r="A14" s="2" t="s">
        <v>63</v>
      </c>
      <c r="B14">
        <f>B13*B12</f>
        <v>234000000</v>
      </c>
    </row>
    <row r="15" spans="1:10">
      <c r="A15" s="2" t="s">
        <v>64</v>
      </c>
      <c r="B15" s="16">
        <f>B8*B14/1000000</f>
        <v>4.68</v>
      </c>
    </row>
    <row r="16" spans="1:10">
      <c r="A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3996-AB0E-4622-96BE-57282B531E85}">
  <dimension ref="A1:C37"/>
  <sheetViews>
    <sheetView workbookViewId="0">
      <selection activeCell="A37" sqref="A37"/>
    </sheetView>
  </sheetViews>
  <sheetFormatPr defaultRowHeight="14.4"/>
  <cols>
    <col min="1" max="1" width="33.77734375" customWidth="1"/>
    <col min="2" max="2" width="16.77734375" customWidth="1"/>
    <col min="3" max="3" width="51.44140625" customWidth="1"/>
  </cols>
  <sheetData>
    <row r="1" spans="1:3">
      <c r="A1" s="17" t="s">
        <v>73</v>
      </c>
      <c r="B1" s="17"/>
      <c r="C1" s="29"/>
    </row>
    <row r="2" spans="1:3">
      <c r="A2" s="2"/>
    </row>
    <row r="3" spans="1:3" ht="57.6">
      <c r="A3" s="31" t="s">
        <v>74</v>
      </c>
      <c r="B3" s="32"/>
      <c r="C3" s="31"/>
    </row>
    <row r="4" spans="1:3">
      <c r="A4" s="2"/>
    </row>
    <row r="5" spans="1:3">
      <c r="A5" s="2" t="s">
        <v>10</v>
      </c>
      <c r="B5" s="26">
        <f>Inference!B15</f>
        <v>240000</v>
      </c>
    </row>
    <row r="6" spans="1:3">
      <c r="A6" s="2" t="s">
        <v>75</v>
      </c>
      <c r="B6" s="26">
        <v>100</v>
      </c>
    </row>
    <row r="7" spans="1:3">
      <c r="A7" s="2" t="s">
        <v>76</v>
      </c>
      <c r="B7" s="26">
        <v>30</v>
      </c>
    </row>
    <row r="8" spans="1:3">
      <c r="A8" s="2" t="s">
        <v>77</v>
      </c>
      <c r="B8" s="26">
        <f>B6*B7</f>
        <v>3000</v>
      </c>
    </row>
    <row r="9" spans="1:3">
      <c r="A9" s="2" t="s">
        <v>78</v>
      </c>
      <c r="B9" s="26">
        <f>ROUNDUP(B5/B8,0)</f>
        <v>80</v>
      </c>
    </row>
    <row r="10" spans="1:3">
      <c r="A10" s="2" t="s">
        <v>79</v>
      </c>
      <c r="B10" s="26">
        <v>2500</v>
      </c>
    </row>
    <row r="11" spans="1:3">
      <c r="A11" s="2" t="s">
        <v>80</v>
      </c>
      <c r="B11" s="26">
        <f>B9*B10</f>
        <v>200000</v>
      </c>
    </row>
    <row r="14" spans="1:3">
      <c r="A14" s="1"/>
      <c r="B14" s="1"/>
      <c r="C14" s="1"/>
    </row>
    <row r="15" spans="1:3">
      <c r="A15" s="17" t="s">
        <v>81</v>
      </c>
      <c r="B15" s="17"/>
      <c r="C15" s="5"/>
    </row>
    <row r="16" spans="1:3">
      <c r="A16" s="2" t="s">
        <v>82</v>
      </c>
      <c r="B16" s="26">
        <f>Inference!B33</f>
        <v>7552.8</v>
      </c>
    </row>
    <row r="17" spans="1:3">
      <c r="A17" s="2" t="s">
        <v>64</v>
      </c>
      <c r="B17" s="26">
        <f>Embedding!B15</f>
        <v>4.68</v>
      </c>
    </row>
    <row r="18" spans="1:3">
      <c r="A18" s="2" t="s">
        <v>61</v>
      </c>
      <c r="B18" s="26">
        <f>Embedding!B9</f>
        <v>1.2999999999999999E-3</v>
      </c>
    </row>
    <row r="19" spans="1:3">
      <c r="A19" s="2" t="s">
        <v>83</v>
      </c>
      <c r="B19" s="26">
        <f>B16+B18+B17</f>
        <v>7557.4813000000004</v>
      </c>
    </row>
    <row r="22" spans="1:3">
      <c r="A22" s="2" t="s">
        <v>84</v>
      </c>
      <c r="B22" s="27">
        <f>B11-B19</f>
        <v>192442.51869999999</v>
      </c>
      <c r="C22" s="1"/>
    </row>
    <row r="23" spans="1:3">
      <c r="A23" s="2" t="s">
        <v>85</v>
      </c>
      <c r="B23" s="28">
        <f>(B22/B11)*100</f>
        <v>96.221259349999983</v>
      </c>
    </row>
    <row r="27" spans="1:3" ht="28.8">
      <c r="A27" s="30" t="s">
        <v>86</v>
      </c>
      <c r="B27" s="30" t="s">
        <v>87</v>
      </c>
      <c r="C27" s="30" t="s">
        <v>88</v>
      </c>
    </row>
    <row r="28" spans="1:3" ht="28.8">
      <c r="A28" s="2" t="s">
        <v>89</v>
      </c>
      <c r="B28" s="2" t="s">
        <v>90</v>
      </c>
      <c r="C28" s="2" t="s">
        <v>91</v>
      </c>
    </row>
    <row r="29" spans="1:3">
      <c r="A29" s="2" t="s">
        <v>92</v>
      </c>
      <c r="B29" s="2" t="s">
        <v>93</v>
      </c>
      <c r="C29" s="2" t="s">
        <v>94</v>
      </c>
    </row>
    <row r="30" spans="1:3">
      <c r="A30" s="2" t="s">
        <v>95</v>
      </c>
      <c r="B30" s="2" t="s">
        <v>96</v>
      </c>
      <c r="C30" s="2" t="s">
        <v>97</v>
      </c>
    </row>
    <row r="31" spans="1:3">
      <c r="A31" s="2" t="s">
        <v>98</v>
      </c>
      <c r="B31" s="2" t="s">
        <v>99</v>
      </c>
      <c r="C31" s="2" t="s">
        <v>100</v>
      </c>
    </row>
    <row r="32" spans="1:3">
      <c r="A32" s="2" t="s">
        <v>101</v>
      </c>
      <c r="B32" s="2" t="s">
        <v>102</v>
      </c>
      <c r="C32" s="2" t="s">
        <v>103</v>
      </c>
    </row>
    <row r="33" spans="1:3">
      <c r="A33" s="2" t="s">
        <v>104</v>
      </c>
      <c r="B33" s="2" t="s">
        <v>105</v>
      </c>
      <c r="C33" s="2" t="s">
        <v>106</v>
      </c>
    </row>
    <row r="37" spans="1:3">
      <c r="A37" s="3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Inference</vt:lpstr>
      <vt:lpstr>Model Comparison</vt:lpstr>
      <vt:lpstr>Embedding</vt:lpstr>
      <vt:lpstr>Cost Saving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srikanta Pattanayak</dc:creator>
  <cp:lastModifiedBy>srikanta Pattanayak</cp:lastModifiedBy>
  <dcterms:created xsi:type="dcterms:W3CDTF">2026-06-26T07:31:34Z</dcterms:created>
  <dcterms:modified xsi:type="dcterms:W3CDTF">2026-06-26T09:44:22Z</dcterms:modified>
</cp:coreProperties>
</file>